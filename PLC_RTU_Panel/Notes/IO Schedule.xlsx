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barge\Documents\Acade 2025\AeData\Proj\32384_CharlesCounty_Pomonkey_PS_Improvements\PLC_RTU_Panel\Notes\"/>
    </mc:Choice>
  </mc:AlternateContent>
  <xr:revisionPtr revIDLastSave="0" documentId="13_ncr:1_{88A1F031-A5FE-437D-BEA3-44751F57E65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3" i="1"/>
  <c r="J2" i="1"/>
</calcChain>
</file>

<file path=xl/sharedStrings.xml><?xml version="1.0" encoding="utf-8"?>
<sst xmlns="http://schemas.openxmlformats.org/spreadsheetml/2006/main" count="216" uniqueCount="108">
  <si>
    <t>Y</t>
  </si>
  <si>
    <t>DI</t>
  </si>
  <si>
    <t>QP-01</t>
  </si>
  <si>
    <t>ZN-01</t>
  </si>
  <si>
    <t>JNF-02</t>
  </si>
  <si>
    <t>TNR-01</t>
  </si>
  <si>
    <t>TNF-01</t>
  </si>
  <si>
    <t>TNL-01</t>
  </si>
  <si>
    <t>Alarm when false</t>
  </si>
  <si>
    <t>Display at SCADA</t>
  </si>
  <si>
    <t>TCP</t>
  </si>
  <si>
    <t>PLC/RTU Panel - Control Power</t>
  </si>
  <si>
    <t>PLC/RTU Panel - Panel Intrusion</t>
  </si>
  <si>
    <t>PLC/RTU Panel - PS 1 Fault</t>
  </si>
  <si>
    <t>Heat Tracing Controller - Heater Fault</t>
  </si>
  <si>
    <t>UPS Control Panel - UPS on Battery</t>
  </si>
  <si>
    <t>UPS Control Panel - UPS Fault</t>
  </si>
  <si>
    <t>DO</t>
  </si>
  <si>
    <t>ISA Tag</t>
  </si>
  <si>
    <t>IO Description</t>
  </si>
  <si>
    <t>IO Type</t>
  </si>
  <si>
    <t>PCS Alarm</t>
  </si>
  <si>
    <t>Special Notes</t>
  </si>
  <si>
    <t>Units</t>
  </si>
  <si>
    <t>Display</t>
  </si>
  <si>
    <t>HNA-01</t>
  </si>
  <si>
    <t>MCN-01</t>
  </si>
  <si>
    <t>MNF-01</t>
  </si>
  <si>
    <t>TNH-01</t>
  </si>
  <si>
    <t>LNH-01</t>
  </si>
  <si>
    <t>MNR-01</t>
  </si>
  <si>
    <t>MIR-01</t>
  </si>
  <si>
    <t>FN-01</t>
  </si>
  <si>
    <t>JNN-01</t>
  </si>
  <si>
    <t>HNA-02</t>
  </si>
  <si>
    <t>MCN-02</t>
  </si>
  <si>
    <t>MNF-02</t>
  </si>
  <si>
    <t>TNH-02</t>
  </si>
  <si>
    <t>LNH-02</t>
  </si>
  <si>
    <t>MNR-02</t>
  </si>
  <si>
    <t>MIR-02</t>
  </si>
  <si>
    <t>FN-02</t>
  </si>
  <si>
    <t>PN-01</t>
  </si>
  <si>
    <t>QNA-01</t>
  </si>
  <si>
    <t>LNLL-01</t>
  </si>
  <si>
    <t>LNHH-01</t>
  </si>
  <si>
    <t>QNA-02</t>
  </si>
  <si>
    <t>LNL-01</t>
  </si>
  <si>
    <t>LNH-03</t>
  </si>
  <si>
    <t>MNR-03</t>
  </si>
  <si>
    <t>MNF-03</t>
  </si>
  <si>
    <t>HNQ-01</t>
  </si>
  <si>
    <t>TNL-02</t>
  </si>
  <si>
    <t>LN-02</t>
  </si>
  <si>
    <t>JN-01</t>
  </si>
  <si>
    <t>JNF-03</t>
  </si>
  <si>
    <t>JN-02</t>
  </si>
  <si>
    <t>JNF-01</t>
  </si>
  <si>
    <t>SPMP-01 - HOA in Auto</t>
  </si>
  <si>
    <t>SPMP-02 - HOA in Auto</t>
  </si>
  <si>
    <t>SPMP-01 - Run CMD</t>
  </si>
  <si>
    <t>SPMP-02 - Run CMD</t>
  </si>
  <si>
    <t>SPMP-01 - Fault</t>
  </si>
  <si>
    <t>SPMP-01 - High Temp</t>
  </si>
  <si>
    <t>SPMP-01 - Seal Leak</t>
  </si>
  <si>
    <t>SPMP-01 - Run Status</t>
  </si>
  <si>
    <t>SPMP-01 - Bypass Pump Running</t>
  </si>
  <si>
    <t>SPMP-01 - Discharge Flow Rate</t>
  </si>
  <si>
    <t>SPMP-01 - Power Consumption KW Pulse</t>
  </si>
  <si>
    <t>JNN-02</t>
  </si>
  <si>
    <t>SPMP-02 - Power Consumption KW Pulse</t>
  </si>
  <si>
    <t>SPMP-02 - Fault</t>
  </si>
  <si>
    <t>SPMP-02 - High Temp</t>
  </si>
  <si>
    <t>SPMP-02 - Seal Leak</t>
  </si>
  <si>
    <t>SPMP-02 - Run Status</t>
  </si>
  <si>
    <t>SPMP-02 - Bypass Pump Running</t>
  </si>
  <si>
    <t>SPMP-02 - Discharge Flow Rate</t>
  </si>
  <si>
    <t>Station - Discharge Pressure</t>
  </si>
  <si>
    <t>Secondary Control Panel - Secondary Control Active</t>
  </si>
  <si>
    <t>Secondary Control Panel - Low-Low Level Alarm</t>
  </si>
  <si>
    <t>Secondary Control Panel - High-High Level Alarm</t>
  </si>
  <si>
    <t>Secondary Control Panel - Pump Down Failure</t>
  </si>
  <si>
    <t>Secondary Control Panel - Low Level Alarm</t>
  </si>
  <si>
    <t>Secondary Control Panel - High Level Alarm</t>
  </si>
  <si>
    <t>Standby Diesel Bypass Pump - Fault</t>
  </si>
  <si>
    <t>Standby Diesel Bypass Pump - Run Status</t>
  </si>
  <si>
    <t>Standby Diesel Bypass Pump - Low Fuel</t>
  </si>
  <si>
    <t>Standby Diesel Bypass Pump - Not in Auto</t>
  </si>
  <si>
    <t>Valve Enclosure - Pipe Freeze Possible</t>
  </si>
  <si>
    <t>Wet Well - Radar Level</t>
  </si>
  <si>
    <t>PLC/RTU Panel - Alarm Test</t>
  </si>
  <si>
    <t>PLC/ RTU Panel - PS 2 Fault</t>
  </si>
  <si>
    <t>Heat Tracing Controller - Heater On</t>
  </si>
  <si>
    <t>Heat Tracing Controller - Pipe Temperature</t>
  </si>
  <si>
    <t>AI</t>
  </si>
  <si>
    <t>gpm</t>
  </si>
  <si>
    <t>KW</t>
  </si>
  <si>
    <t>PSI</t>
  </si>
  <si>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F</t>
    </r>
  </si>
  <si>
    <t>Alarm when 4-20mA signal is out of range</t>
  </si>
  <si>
    <t>Show if Sec Control Active</t>
  </si>
  <si>
    <t>Alarm when out of range, high-high level, and low low level</t>
  </si>
  <si>
    <r>
      <t>Alarm when below 40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F</t>
    </r>
  </si>
  <si>
    <t>AI Count</t>
  </si>
  <si>
    <t>AO Count</t>
  </si>
  <si>
    <t>DI Count</t>
  </si>
  <si>
    <t>DO Count</t>
  </si>
  <si>
    <t xml:space="preserve">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</si>
</sst>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1BDD1-B910-47A3-AD3E-6AB4F78C1675}" name="Table1" displayName="Table1" ref="A1:G42" totalsRowShown="0">
  <autoFilter ref="A1:G42" xr:uid="{DBC1BDD1-B910-47A3-AD3E-6AB4F78C1675}">
    <filterColumn colId="2">
      <filters>
        <filter val="DI"/>
      </filters>
    </filterColumn>
  </autoFilter>
  <sortState xmlns:xlrd2="http://schemas.microsoft.com/office/spreadsheetml/2017/richdata2" ref="A2:G42">
    <sortCondition ref="C1:C42"/>
  </sortState>
  <tableColumns count="7">
    <tableColumn id="1" xr3:uid="{694EEC7B-753A-4C57-8AAF-437E88D7B8EC}" name="ISA Tag"/>
    <tableColumn id="2" xr3:uid="{B00A9A73-962F-4E20-A54D-05876D949517}" name="IO Description"/>
    <tableColumn id="3" xr3:uid="{F3528A65-07CA-4EB2-AF47-CA0B6C42B0AD}" name="IO Type"/>
    <tableColumn id="4" xr3:uid="{AE96A657-10D1-4D1C-B68B-C65216ECE463}" name="Units"/>
    <tableColumn id="5" xr3:uid="{CA194ADA-E832-4A9E-BB84-D7D855C97BBC}" name="Display"/>
    <tableColumn id="6" xr3:uid="{F59C3119-77A7-4662-B117-9C2A0CC601AF}" name="PCS Alarm"/>
    <tableColumn id="7" xr3:uid="{66C28EB3-F1F7-41EF-9BDF-3294B9DE5EAC}" name="Special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A35" sqref="A35:G35"/>
    </sheetView>
  </sheetViews>
  <sheetFormatPr defaultRowHeight="15" x14ac:dyDescent="0.25"/>
  <cols>
    <col min="1" max="1" width="9.42578125" customWidth="1"/>
    <col min="2" max="2" width="47.5703125" bestFit="1" customWidth="1"/>
    <col min="3" max="3" width="9.85546875" customWidth="1"/>
    <col min="5" max="5" width="9.5703125" customWidth="1"/>
    <col min="6" max="6" width="12.140625" customWidth="1"/>
    <col min="7" max="7" width="55.28515625" bestFit="1" customWidth="1"/>
  </cols>
  <sheetData>
    <row r="1" spans="1:10" x14ac:dyDescent="0.25">
      <c r="A1" t="s">
        <v>18</v>
      </c>
      <c r="B1" t="s">
        <v>19</v>
      </c>
      <c r="C1" t="s">
        <v>20</v>
      </c>
      <c r="D1" t="s">
        <v>23</v>
      </c>
      <c r="E1" t="s">
        <v>24</v>
      </c>
      <c r="F1" t="s">
        <v>21</v>
      </c>
      <c r="G1" t="s">
        <v>22</v>
      </c>
    </row>
    <row r="2" spans="1:10" hidden="1" x14ac:dyDescent="0.25">
      <c r="A2" t="s">
        <v>32</v>
      </c>
      <c r="B2" t="s">
        <v>67</v>
      </c>
      <c r="C2" t="s">
        <v>94</v>
      </c>
      <c r="D2" t="s">
        <v>95</v>
      </c>
      <c r="E2" t="s">
        <v>0</v>
      </c>
      <c r="F2" t="s">
        <v>0</v>
      </c>
      <c r="G2" t="s">
        <v>99</v>
      </c>
      <c r="I2" t="s">
        <v>103</v>
      </c>
      <c r="J2">
        <f>COUNTIF(Table1[IO Type], "AI")</f>
        <v>4</v>
      </c>
    </row>
    <row r="3" spans="1:10" hidden="1" x14ac:dyDescent="0.25">
      <c r="A3" t="s">
        <v>41</v>
      </c>
      <c r="B3" t="s">
        <v>76</v>
      </c>
      <c r="C3" t="s">
        <v>94</v>
      </c>
      <c r="D3" t="s">
        <v>95</v>
      </c>
      <c r="E3" t="s">
        <v>0</v>
      </c>
      <c r="F3" t="s">
        <v>0</v>
      </c>
      <c r="G3" t="s">
        <v>99</v>
      </c>
      <c r="I3" t="s">
        <v>104</v>
      </c>
      <c r="J3">
        <f>COUNTIF(Table1[IO Type], "AO")</f>
        <v>0</v>
      </c>
    </row>
    <row r="4" spans="1:10" hidden="1" x14ac:dyDescent="0.25">
      <c r="A4" t="s">
        <v>42</v>
      </c>
      <c r="B4" t="s">
        <v>77</v>
      </c>
      <c r="C4" t="s">
        <v>94</v>
      </c>
      <c r="D4" t="s">
        <v>97</v>
      </c>
      <c r="E4" t="s">
        <v>0</v>
      </c>
      <c r="F4" t="s">
        <v>0</v>
      </c>
      <c r="G4" t="s">
        <v>99</v>
      </c>
      <c r="I4" t="s">
        <v>105</v>
      </c>
      <c r="J4">
        <f>COUNTIF(Table1[IO Type], "DI")</f>
        <v>30</v>
      </c>
    </row>
    <row r="5" spans="1:10" hidden="1" x14ac:dyDescent="0.25">
      <c r="A5" t="s">
        <v>53</v>
      </c>
      <c r="B5" t="s">
        <v>89</v>
      </c>
      <c r="C5" t="s">
        <v>94</v>
      </c>
      <c r="E5" t="s">
        <v>0</v>
      </c>
      <c r="G5" t="s">
        <v>101</v>
      </c>
      <c r="I5" t="s">
        <v>106</v>
      </c>
      <c r="J5">
        <f>COUNTIF(Table1[IO Type], "DO")</f>
        <v>4</v>
      </c>
    </row>
    <row r="6" spans="1:10" x14ac:dyDescent="0.25">
      <c r="A6" s="2" t="s">
        <v>25</v>
      </c>
      <c r="B6" s="2" t="s">
        <v>58</v>
      </c>
      <c r="C6" s="2" t="s">
        <v>1</v>
      </c>
      <c r="D6" s="2"/>
      <c r="E6" s="2" t="s">
        <v>0</v>
      </c>
      <c r="F6" s="2" t="s">
        <v>0</v>
      </c>
      <c r="G6" s="2" t="s">
        <v>8</v>
      </c>
      <c r="J6" t="s">
        <v>107</v>
      </c>
    </row>
    <row r="7" spans="1:10" x14ac:dyDescent="0.25">
      <c r="A7" s="2" t="s">
        <v>27</v>
      </c>
      <c r="B7" s="2" t="s">
        <v>62</v>
      </c>
      <c r="C7" s="2" t="s">
        <v>1</v>
      </c>
      <c r="D7" s="2"/>
      <c r="E7" s="2" t="s">
        <v>0</v>
      </c>
      <c r="F7" s="2" t="s">
        <v>0</v>
      </c>
      <c r="G7" s="2"/>
    </row>
    <row r="8" spans="1:10" x14ac:dyDescent="0.25">
      <c r="A8" s="2" t="s">
        <v>28</v>
      </c>
      <c r="B8" s="2" t="s">
        <v>63</v>
      </c>
      <c r="C8" s="2" t="s">
        <v>1</v>
      </c>
      <c r="D8" s="2"/>
      <c r="E8" s="2" t="s">
        <v>0</v>
      </c>
      <c r="F8" s="2" t="s">
        <v>0</v>
      </c>
      <c r="G8" s="2"/>
    </row>
    <row r="9" spans="1:10" x14ac:dyDescent="0.25">
      <c r="A9" s="2" t="s">
        <v>29</v>
      </c>
      <c r="B9" s="2" t="s">
        <v>64</v>
      </c>
      <c r="C9" s="2" t="s">
        <v>1</v>
      </c>
      <c r="D9" s="2"/>
      <c r="E9" s="2" t="s">
        <v>0</v>
      </c>
      <c r="F9" s="2" t="s">
        <v>0</v>
      </c>
      <c r="G9" s="2"/>
    </row>
    <row r="10" spans="1:10" x14ac:dyDescent="0.25">
      <c r="A10" s="2" t="s">
        <v>30</v>
      </c>
      <c r="B10" s="2" t="s">
        <v>65</v>
      </c>
      <c r="C10" s="2" t="s">
        <v>1</v>
      </c>
      <c r="D10" s="2"/>
      <c r="E10" s="2" t="s">
        <v>0</v>
      </c>
      <c r="F10" s="2"/>
      <c r="G10" s="2"/>
    </row>
    <row r="11" spans="1:10" x14ac:dyDescent="0.25">
      <c r="A11" s="2" t="s">
        <v>33</v>
      </c>
      <c r="B11" s="2" t="s">
        <v>68</v>
      </c>
      <c r="C11" s="2" t="s">
        <v>1</v>
      </c>
      <c r="D11" s="2" t="s">
        <v>96</v>
      </c>
      <c r="E11" s="2" t="s">
        <v>0</v>
      </c>
      <c r="F11" s="2"/>
      <c r="G11" s="2"/>
    </row>
    <row r="12" spans="1:10" x14ac:dyDescent="0.25">
      <c r="A12" s="2" t="s">
        <v>34</v>
      </c>
      <c r="B12" s="2" t="s">
        <v>59</v>
      </c>
      <c r="C12" s="2" t="s">
        <v>1</v>
      </c>
      <c r="D12" s="2"/>
      <c r="E12" s="2" t="s">
        <v>0</v>
      </c>
      <c r="F12" s="2" t="s">
        <v>0</v>
      </c>
      <c r="G12" s="2" t="s">
        <v>8</v>
      </c>
    </row>
    <row r="13" spans="1:10" x14ac:dyDescent="0.25">
      <c r="A13" s="2" t="s">
        <v>36</v>
      </c>
      <c r="B13" s="2" t="s">
        <v>71</v>
      </c>
      <c r="C13" s="2" t="s">
        <v>1</v>
      </c>
      <c r="D13" s="2"/>
      <c r="E13" s="2" t="s">
        <v>0</v>
      </c>
      <c r="F13" s="2" t="s">
        <v>0</v>
      </c>
      <c r="G13" s="2"/>
    </row>
    <row r="14" spans="1:10" x14ac:dyDescent="0.25">
      <c r="A14" s="2" t="s">
        <v>37</v>
      </c>
      <c r="B14" s="2" t="s">
        <v>72</v>
      </c>
      <c r="C14" s="2" t="s">
        <v>1</v>
      </c>
      <c r="D14" s="2"/>
      <c r="E14" s="2" t="s">
        <v>0</v>
      </c>
      <c r="F14" s="2" t="s">
        <v>0</v>
      </c>
      <c r="G14" s="2"/>
    </row>
    <row r="15" spans="1:10" x14ac:dyDescent="0.25">
      <c r="A15" s="2" t="s">
        <v>38</v>
      </c>
      <c r="B15" s="2" t="s">
        <v>73</v>
      </c>
      <c r="C15" s="2" t="s">
        <v>1</v>
      </c>
      <c r="D15" s="2"/>
      <c r="E15" s="2" t="s">
        <v>0</v>
      </c>
      <c r="F15" s="2" t="s">
        <v>0</v>
      </c>
      <c r="G15" s="2"/>
    </row>
    <row r="16" spans="1:10" x14ac:dyDescent="0.25">
      <c r="A16" s="2" t="s">
        <v>39</v>
      </c>
      <c r="B16" s="2" t="s">
        <v>74</v>
      </c>
      <c r="C16" s="2" t="s">
        <v>1</v>
      </c>
      <c r="D16" s="2"/>
      <c r="E16" s="2" t="s">
        <v>0</v>
      </c>
      <c r="F16" s="2"/>
      <c r="G16" s="2"/>
    </row>
    <row r="17" spans="1:7" x14ac:dyDescent="0.25">
      <c r="A17" s="2" t="s">
        <v>69</v>
      </c>
      <c r="B17" s="2" t="s">
        <v>70</v>
      </c>
      <c r="C17" s="2" t="s">
        <v>1</v>
      </c>
      <c r="D17" s="2" t="s">
        <v>96</v>
      </c>
      <c r="E17" s="2" t="s">
        <v>0</v>
      </c>
      <c r="F17" s="2"/>
      <c r="G17" s="2"/>
    </row>
    <row r="18" spans="1:7" x14ac:dyDescent="0.25">
      <c r="A18" s="2" t="s">
        <v>43</v>
      </c>
      <c r="B18" s="2" t="s">
        <v>78</v>
      </c>
      <c r="C18" s="2" t="s">
        <v>1</v>
      </c>
      <c r="D18" s="2"/>
      <c r="E18" s="2" t="s">
        <v>0</v>
      </c>
      <c r="F18" s="2" t="s">
        <v>0</v>
      </c>
      <c r="G18" s="2"/>
    </row>
    <row r="19" spans="1:7" x14ac:dyDescent="0.25">
      <c r="A19" s="2" t="s">
        <v>44</v>
      </c>
      <c r="B19" s="2" t="s">
        <v>79</v>
      </c>
      <c r="C19" s="2" t="s">
        <v>1</v>
      </c>
      <c r="D19" s="2"/>
      <c r="E19" s="2" t="s">
        <v>0</v>
      </c>
      <c r="F19" s="2" t="s">
        <v>0</v>
      </c>
      <c r="G19" s="2" t="s">
        <v>100</v>
      </c>
    </row>
    <row r="20" spans="1:7" x14ac:dyDescent="0.25">
      <c r="A20" s="2" t="s">
        <v>45</v>
      </c>
      <c r="B20" s="2" t="s">
        <v>80</v>
      </c>
      <c r="C20" s="2" t="s">
        <v>1</v>
      </c>
      <c r="D20" s="2"/>
      <c r="E20" s="2" t="s">
        <v>0</v>
      </c>
      <c r="F20" s="2" t="s">
        <v>0</v>
      </c>
      <c r="G20" s="2" t="s">
        <v>100</v>
      </c>
    </row>
    <row r="21" spans="1:7" x14ac:dyDescent="0.25">
      <c r="A21" s="2" t="s">
        <v>46</v>
      </c>
      <c r="B21" s="2" t="s">
        <v>81</v>
      </c>
      <c r="C21" s="2" t="s">
        <v>1</v>
      </c>
      <c r="D21" s="2"/>
      <c r="E21" s="2" t="s">
        <v>0</v>
      </c>
      <c r="F21" s="2" t="s">
        <v>0</v>
      </c>
      <c r="G21" s="2"/>
    </row>
    <row r="22" spans="1:7" x14ac:dyDescent="0.25">
      <c r="A22" s="2" t="s">
        <v>47</v>
      </c>
      <c r="B22" s="2" t="s">
        <v>82</v>
      </c>
      <c r="C22" s="2" t="s">
        <v>1</v>
      </c>
      <c r="D22" s="2"/>
      <c r="E22" s="2" t="s">
        <v>0</v>
      </c>
      <c r="F22" s="2"/>
      <c r="G22" s="2" t="s">
        <v>100</v>
      </c>
    </row>
    <row r="23" spans="1:7" x14ac:dyDescent="0.25">
      <c r="A23" s="2" t="s">
        <v>48</v>
      </c>
      <c r="B23" s="2" t="s">
        <v>83</v>
      </c>
      <c r="C23" s="2" t="s">
        <v>1</v>
      </c>
      <c r="D23" s="2"/>
      <c r="E23" s="2" t="s">
        <v>0</v>
      </c>
      <c r="F23" s="2"/>
      <c r="G23" s="2" t="s">
        <v>100</v>
      </c>
    </row>
    <row r="24" spans="1:7" x14ac:dyDescent="0.25">
      <c r="A24" s="2" t="s">
        <v>49</v>
      </c>
      <c r="B24" s="2" t="s">
        <v>85</v>
      </c>
      <c r="C24" s="2" t="s">
        <v>1</v>
      </c>
      <c r="D24" s="2"/>
      <c r="E24" s="2" t="s">
        <v>0</v>
      </c>
      <c r="F24" s="2" t="s">
        <v>0</v>
      </c>
      <c r="G24" s="2"/>
    </row>
    <row r="25" spans="1:7" x14ac:dyDescent="0.25">
      <c r="A25" s="2" t="s">
        <v>50</v>
      </c>
      <c r="B25" s="2" t="s">
        <v>84</v>
      </c>
      <c r="C25" s="2" t="s">
        <v>1</v>
      </c>
      <c r="D25" s="2"/>
      <c r="E25" s="2" t="s">
        <v>0</v>
      </c>
      <c r="F25" s="2" t="s">
        <v>0</v>
      </c>
      <c r="G25" s="2"/>
    </row>
    <row r="26" spans="1:7" x14ac:dyDescent="0.25">
      <c r="A26" s="2" t="s">
        <v>47</v>
      </c>
      <c r="B26" s="2" t="s">
        <v>86</v>
      </c>
      <c r="C26" s="2" t="s">
        <v>1</v>
      </c>
      <c r="D26" s="2"/>
      <c r="E26" s="2" t="s">
        <v>0</v>
      </c>
      <c r="F26" s="2" t="s">
        <v>0</v>
      </c>
      <c r="G26" s="2"/>
    </row>
    <row r="27" spans="1:7" x14ac:dyDescent="0.25">
      <c r="A27" s="2" t="s">
        <v>51</v>
      </c>
      <c r="B27" s="2" t="s">
        <v>87</v>
      </c>
      <c r="C27" s="2" t="s">
        <v>1</v>
      </c>
      <c r="D27" s="2"/>
      <c r="E27" s="2" t="s">
        <v>0</v>
      </c>
      <c r="F27" s="2" t="s">
        <v>0</v>
      </c>
      <c r="G27" s="2"/>
    </row>
    <row r="28" spans="1:7" x14ac:dyDescent="0.25">
      <c r="A28" s="2" t="s">
        <v>52</v>
      </c>
      <c r="B28" s="2" t="s">
        <v>88</v>
      </c>
      <c r="C28" s="2" t="s">
        <v>1</v>
      </c>
      <c r="D28" s="2"/>
      <c r="E28" s="2" t="s">
        <v>0</v>
      </c>
      <c r="F28" s="2" t="s">
        <v>0</v>
      </c>
      <c r="G28" s="2"/>
    </row>
    <row r="29" spans="1:7" x14ac:dyDescent="0.25">
      <c r="A29" s="2" t="s">
        <v>54</v>
      </c>
      <c r="B29" s="2" t="s">
        <v>11</v>
      </c>
      <c r="C29" s="2" t="s">
        <v>1</v>
      </c>
      <c r="D29" s="2"/>
      <c r="E29" s="2"/>
      <c r="F29" s="2" t="s">
        <v>0</v>
      </c>
      <c r="G29" s="2" t="s">
        <v>8</v>
      </c>
    </row>
    <row r="30" spans="1:7" x14ac:dyDescent="0.25">
      <c r="A30" s="2" t="s">
        <v>2</v>
      </c>
      <c r="B30" s="2" t="s">
        <v>90</v>
      </c>
      <c r="C30" s="2" t="s">
        <v>1</v>
      </c>
      <c r="D30" s="2"/>
      <c r="E30" s="2"/>
      <c r="F30" s="2"/>
      <c r="G30" s="2" t="s">
        <v>9</v>
      </c>
    </row>
    <row r="31" spans="1:7" x14ac:dyDescent="0.25">
      <c r="A31" s="2" t="s">
        <v>3</v>
      </c>
      <c r="B31" s="2" t="s">
        <v>12</v>
      </c>
      <c r="C31" s="2" t="s">
        <v>1</v>
      </c>
      <c r="D31" s="2"/>
      <c r="E31" s="2"/>
      <c r="F31" s="2" t="s">
        <v>0</v>
      </c>
      <c r="G31" s="2"/>
    </row>
    <row r="32" spans="1:7" x14ac:dyDescent="0.25">
      <c r="A32" s="2" t="s">
        <v>4</v>
      </c>
      <c r="B32" s="2" t="s">
        <v>13</v>
      </c>
      <c r="C32" s="2" t="s">
        <v>1</v>
      </c>
      <c r="D32" s="2"/>
      <c r="E32" s="2"/>
      <c r="F32" s="2" t="s">
        <v>0</v>
      </c>
      <c r="G32" s="2"/>
    </row>
    <row r="33" spans="1:7" x14ac:dyDescent="0.25">
      <c r="A33" s="2" t="s">
        <v>55</v>
      </c>
      <c r="B33" s="2" t="s">
        <v>91</v>
      </c>
      <c r="C33" s="2" t="s">
        <v>1</v>
      </c>
      <c r="D33" s="2"/>
      <c r="E33" s="2"/>
      <c r="F33" s="2" t="s">
        <v>0</v>
      </c>
      <c r="G33" s="2"/>
    </row>
    <row r="34" spans="1:7" x14ac:dyDescent="0.25">
      <c r="A34" s="2" t="s">
        <v>56</v>
      </c>
      <c r="B34" s="2" t="s">
        <v>15</v>
      </c>
      <c r="C34" s="2" t="s">
        <v>1</v>
      </c>
      <c r="D34" s="2"/>
      <c r="E34" s="2" t="s">
        <v>0</v>
      </c>
      <c r="F34" s="2" t="s">
        <v>0</v>
      </c>
      <c r="G34" s="2"/>
    </row>
    <row r="35" spans="1:7" x14ac:dyDescent="0.25">
      <c r="A35" s="2" t="s">
        <v>57</v>
      </c>
      <c r="B35" s="2" t="s">
        <v>16</v>
      </c>
      <c r="C35" s="2" t="s">
        <v>1</v>
      </c>
      <c r="D35" s="2"/>
      <c r="E35" s="2"/>
      <c r="F35" s="2" t="s">
        <v>0</v>
      </c>
      <c r="G35" s="2"/>
    </row>
    <row r="36" spans="1:7" hidden="1" x14ac:dyDescent="0.25">
      <c r="A36" t="s">
        <v>26</v>
      </c>
      <c r="B36" t="s">
        <v>60</v>
      </c>
      <c r="C36" t="s">
        <v>17</v>
      </c>
      <c r="E36" t="s">
        <v>0</v>
      </c>
    </row>
    <row r="37" spans="1:7" hidden="1" x14ac:dyDescent="0.25">
      <c r="A37" t="s">
        <v>31</v>
      </c>
      <c r="B37" t="s">
        <v>66</v>
      </c>
      <c r="C37" t="s">
        <v>17</v>
      </c>
      <c r="E37" t="s">
        <v>0</v>
      </c>
    </row>
    <row r="38" spans="1:7" hidden="1" x14ac:dyDescent="0.25">
      <c r="A38" t="s">
        <v>35</v>
      </c>
      <c r="B38" t="s">
        <v>61</v>
      </c>
      <c r="C38" t="s">
        <v>17</v>
      </c>
      <c r="E38" t="s">
        <v>0</v>
      </c>
    </row>
    <row r="39" spans="1:7" hidden="1" x14ac:dyDescent="0.25">
      <c r="A39" t="s">
        <v>40</v>
      </c>
      <c r="B39" t="s">
        <v>75</v>
      </c>
      <c r="C39" t="s">
        <v>17</v>
      </c>
      <c r="E39" t="s">
        <v>0</v>
      </c>
    </row>
    <row r="40" spans="1:7" hidden="1" x14ac:dyDescent="0.25">
      <c r="A40" t="s">
        <v>5</v>
      </c>
      <c r="B40" t="s">
        <v>92</v>
      </c>
      <c r="C40" t="s">
        <v>10</v>
      </c>
      <c r="E40" t="s">
        <v>0</v>
      </c>
    </row>
    <row r="41" spans="1:7" hidden="1" x14ac:dyDescent="0.25">
      <c r="A41" t="s">
        <v>6</v>
      </c>
      <c r="B41" t="s">
        <v>14</v>
      </c>
      <c r="C41" t="s">
        <v>10</v>
      </c>
      <c r="E41" t="s">
        <v>0</v>
      </c>
      <c r="F41" t="s">
        <v>0</v>
      </c>
    </row>
    <row r="42" spans="1:7" hidden="1" x14ac:dyDescent="0.25">
      <c r="A42" t="s">
        <v>7</v>
      </c>
      <c r="B42" t="s">
        <v>93</v>
      </c>
      <c r="C42" t="s">
        <v>10</v>
      </c>
      <c r="D42" s="1" t="s">
        <v>98</v>
      </c>
      <c r="F42" t="s">
        <v>0</v>
      </c>
      <c r="G42" t="s">
        <v>102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Barge</dc:creator>
  <cp:lastModifiedBy>Zachary Barge</cp:lastModifiedBy>
  <dcterms:created xsi:type="dcterms:W3CDTF">2015-06-05T18:17:20Z</dcterms:created>
  <dcterms:modified xsi:type="dcterms:W3CDTF">2026-01-13T13:01:37Z</dcterms:modified>
</cp:coreProperties>
</file>